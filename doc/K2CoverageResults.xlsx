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8E6A63A8-D3C2-4368-9919-F35FF5DE7894}" xr6:coauthVersionLast="47" xr6:coauthVersionMax="47" xr10:uidLastSave="{00000000-0000-0000-0000-000000000000}"/>
  <bookViews>
    <workbookView xWindow="-96" yWindow="-96" windowWidth="23232" windowHeight="12432" activeTab="1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J6" i="1"/>
  <c r="J4" i="3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J3" i="2"/>
  <c r="G3" i="2"/>
  <c r="D3" i="2"/>
  <c r="J2" i="2"/>
  <c r="G2" i="2"/>
  <c r="J4" i="2"/>
  <c r="G4" i="2"/>
  <c r="D4" i="2"/>
  <c r="M19" i="1"/>
  <c r="J3" i="1"/>
  <c r="J4" i="1"/>
  <c r="J5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E12" i="1"/>
  <c r="F12" i="1"/>
  <c r="H12" i="1"/>
  <c r="I12" i="1"/>
  <c r="M18" i="1" s="1"/>
  <c r="B12" i="1"/>
  <c r="D6" i="2" l="1"/>
  <c r="D12" i="1"/>
  <c r="J12" i="1"/>
  <c r="J13" i="1" s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<sst xmlns="http://schemas.openxmlformats.org/spreadsheetml/2006/main" count="41" uniqueCount="25">
  <si>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</si>
  <si>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</si>
  <si>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</si>
  <si>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</si>
  <si>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</si>
  <si>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</si>
  <si>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</si>
  <si>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</si>
  <si>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</si>
  <si>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</si>
  <si>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</si>
  <si>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</si>
  <si>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</si>
  <si>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</si>
  <si>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</si>
  <si>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</si>
  <si>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</si>
  <si>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</si>
  <si>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</si>
  <si>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coder.rs</t>
  </si>
  <si>
    <t>parser.rs</t>
  </si>
  <si>
    <t>main.rs</t>
  </si>
  <si>
    <t>Covered</t>
  </si>
  <si>
    <t>Uncovered</t>
  </si>
  <si>
    <t>syntax_tree.rs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</si>
</sst>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K2Stream!$C$2:$C$12</c15:sqref>
                  </c15:fullRef>
                </c:ext>
              </c:extLst>
              <c:f>K2Stream!$C$2:$C$10</c:f>
              <c:numCache>
                <c:formatCode>General</c:formatCode>
                <c:ptCount val="9"/>
                <c:pt idx="0">
                  <c:v>26</c:v>
                </c:pt>
                <c:pt idx="1">
                  <c:v>3</c:v>
                </c:pt>
                <c:pt idx="2">
                  <c:v>8</c:v>
                </c:pt>
                <c:pt idx="3">
                  <c:v>11</c:v>
                </c:pt>
                <c:pt idx="4">
                  <c:v>41</c:v>
                </c:pt>
                <c:pt idx="5">
                  <c:v>16</c:v>
                </c:pt>
                <c:pt idx="6">
                  <c:v>37</c:v>
                </c:pt>
                <c:pt idx="7">
                  <c:v>9</c:v>
                </c:pt>
                <c:pt idx="8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K2Stream!$F$2:$F$12</c15:sqref>
                  </c15:fullRef>
                </c:ext>
              </c:extLst>
              <c:f>K2Stream!$F$2:$F$10</c:f>
              <c:numCache>
                <c:formatCode>General</c:formatCode>
                <c:ptCount val="9"/>
                <c:pt idx="0">
                  <c:v>137</c:v>
                </c:pt>
                <c:pt idx="1">
                  <c:v>20</c:v>
                </c:pt>
                <c:pt idx="2">
                  <c:v>66</c:v>
                </c:pt>
                <c:pt idx="3">
                  <c:v>91</c:v>
                </c:pt>
                <c:pt idx="4">
                  <c:v>244</c:v>
                </c:pt>
                <c:pt idx="5">
                  <c:v>205</c:v>
                </c:pt>
                <c:pt idx="6">
                  <c:v>243</c:v>
                </c:pt>
                <c:pt idx="7">
                  <c:v>51</c:v>
                </c:pt>
                <c:pt idx="8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K2Stream!$I$2:$I$12</c15:sqref>
                  </c15:fullRef>
                </c:ext>
              </c:extLst>
              <c:f>K2Stream!$I$2:$I$10</c:f>
              <c:numCache>
                <c:formatCode>General</c:formatCode>
                <c:ptCount val="9"/>
                <c:pt idx="0">
                  <c:v>311</c:v>
                </c:pt>
                <c:pt idx="1">
                  <c:v>45</c:v>
                </c:pt>
                <c:pt idx="2">
                  <c:v>126</c:v>
                </c:pt>
                <c:pt idx="3">
                  <c:v>247</c:v>
                </c:pt>
                <c:pt idx="4">
                  <c:v>495</c:v>
                </c:pt>
                <c:pt idx="5">
                  <c:v>393</c:v>
                </c:pt>
                <c:pt idx="6">
                  <c:v>549</c:v>
                </c:pt>
                <c:pt idx="7">
                  <c:v>80</c:v>
                </c:pt>
                <c:pt idx="8">
                  <c:v>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94.855305466237937</c:v>
                </c:pt>
                <c:pt idx="1">
                  <c:v>53.333333333333336</c:v>
                </c:pt>
                <c:pt idx="2">
                  <c:v>79.365079365079367</c:v>
                </c:pt>
                <c:pt idx="3">
                  <c:v>98.785425101214571</c:v>
                </c:pt>
                <c:pt idx="4">
                  <c:v>86.868686868686879</c:v>
                </c:pt>
                <c:pt idx="5">
                  <c:v>94.402035623409674</c:v>
                </c:pt>
                <c:pt idx="6">
                  <c:v>86.338797814207652</c:v>
                </c:pt>
                <c:pt idx="7">
                  <c:v>95</c:v>
                </c:pt>
                <c:pt idx="8">
                  <c:v>86.027798098024874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27-46D0-921C-72A5D0E1E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27-46D0-921C-72A5D0E1E2A4}"/>
              </c:ext>
            </c:extLst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88.292277885413782</c:v>
                </c:pt>
                <c:pt idx="1">
                  <c:v>11.707722114586218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coder.rs</c:v>
                </c:pt>
                <c:pt idx="1">
                  <c:v>parser.rs</c:v>
                </c:pt>
                <c:pt idx="2">
                  <c:v>syntax_tree.rs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23</c:v>
                </c:pt>
                <c:pt idx="1">
                  <c:v>27</c:v>
                </c:pt>
                <c:pt idx="2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tx>
            <c:v>Lines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coder.rs</c:v>
                </c:pt>
                <c:pt idx="1">
                  <c:v>parser.rs</c:v>
                </c:pt>
                <c:pt idx="2">
                  <c:v>syntax_tree.rs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329</c:v>
                </c:pt>
                <c:pt idx="1">
                  <c:v>325</c:v>
                </c:pt>
                <c:pt idx="2">
                  <c:v>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tx>
            <c:v>Regions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coder.rs</c:v>
                </c:pt>
                <c:pt idx="1">
                  <c:v>parser.rs</c:v>
                </c:pt>
                <c:pt idx="2">
                  <c:v>syntax_tree.rs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621</c:v>
                </c:pt>
                <c:pt idx="1">
                  <c:v>592</c:v>
                </c:pt>
                <c:pt idx="2">
                  <c:v>1169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coder.rs</c:v>
                </c:pt>
                <c:pt idx="1">
                  <c:v>parser.rs</c:v>
                </c:pt>
                <c:pt idx="2">
                  <c:v>syntax_tree.rs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0.322061191626409</c:v>
                </c:pt>
                <c:pt idx="1">
                  <c:v>89.86486486486487</c:v>
                </c:pt>
                <c:pt idx="2">
                  <c:v>86.4841745081266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opLeftCell="B1" workbookViewId="0">
      <selection activeCell="H4" sqref="H4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26</v>
      </c>
      <c r="D2" s="1">
        <f>B2/C2*100</f>
        <v>84.615384615384613</v>
      </c>
      <c r="E2">
        <v>129</v>
      </c>
      <c r="F2">
        <v>137</v>
      </c>
      <c r="G2" s="1">
        <f>E2/F2*100</f>
        <v>94.160583941605836</v>
      </c>
      <c r="H2">
        <v>295</v>
      </c>
      <c r="I2">
        <v>311</v>
      </c>
      <c r="J2" s="1">
        <f>H2/I2*100</f>
        <v>94.855305466237937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10</v>
      </c>
      <c r="F3">
        <v>20</v>
      </c>
      <c r="G3" s="1">
        <f t="shared" ref="G3:G12" si="1">E3/F3*100</f>
        <v>50</v>
      </c>
      <c r="H3">
        <v>24</v>
      </c>
      <c r="I3">
        <v>45</v>
      </c>
      <c r="J3" s="1">
        <f t="shared" ref="J3:J12" si="2">H3/I3*100</f>
        <v>53.333333333333336</v>
      </c>
    </row>
    <row r="4" spans="1:11" x14ac:dyDescent="0.3">
      <c r="A4" t="s">
        <v>2</v>
      </c>
      <c r="B4">
        <v>0</v>
      </c>
      <c r="C4">
        <v>8</v>
      </c>
      <c r="D4" s="1">
        <f t="shared" si="0"/>
        <v>0</v>
      </c>
      <c r="E4">
        <v>0</v>
      </c>
      <c r="F4">
        <v>66</v>
      </c>
      <c r="G4" s="1">
        <f t="shared" si="1"/>
        <v>0</v>
      </c>
      <c r="H4">
        <v>100</v>
      </c>
      <c r="I4">
        <v>126</v>
      </c>
      <c r="J4" s="1">
        <f t="shared" si="2"/>
        <v>79.365079365079367</v>
      </c>
    </row>
    <row r="5" spans="1:11" x14ac:dyDescent="0.3">
      <c r="A5" t="s">
        <v>3</v>
      </c>
      <c r="B5">
        <v>10</v>
      </c>
      <c r="C5">
        <v>11</v>
      </c>
      <c r="D5" s="1">
        <f t="shared" si="0"/>
        <v>90.909090909090907</v>
      </c>
      <c r="E5">
        <v>88</v>
      </c>
      <c r="F5">
        <v>91</v>
      </c>
      <c r="G5" s="1">
        <f t="shared" si="1"/>
        <v>96.703296703296701</v>
      </c>
      <c r="H5">
        <v>244</v>
      </c>
      <c r="I5">
        <v>247</v>
      </c>
      <c r="J5" s="1">
        <f t="shared" si="2"/>
        <v>98.785425101214571</v>
      </c>
    </row>
    <row r="6" spans="1:11" x14ac:dyDescent="0.3">
      <c r="A6" t="s">
        <v>4</v>
      </c>
      <c r="B6">
        <v>27</v>
      </c>
      <c r="C6">
        <v>41</v>
      </c>
      <c r="D6" s="1">
        <f t="shared" si="0"/>
        <v>65.853658536585371</v>
      </c>
      <c r="E6">
        <v>215</v>
      </c>
      <c r="F6">
        <v>244</v>
      </c>
      <c r="G6" s="1">
        <f t="shared" si="1"/>
        <v>88.114754098360663</v>
      </c>
      <c r="H6">
        <v>430</v>
      </c>
      <c r="I6">
        <v>495</v>
      </c>
      <c r="J6" s="1">
        <f t="shared" si="2"/>
        <v>86.868686868686879</v>
      </c>
    </row>
    <row r="7" spans="1:11" x14ac:dyDescent="0.3">
      <c r="A7" t="s">
        <v>5</v>
      </c>
      <c r="B7">
        <v>14</v>
      </c>
      <c r="C7">
        <v>16</v>
      </c>
      <c r="D7" s="1">
        <f t="shared" si="0"/>
        <v>87.5</v>
      </c>
      <c r="E7">
        <v>184</v>
      </c>
      <c r="F7">
        <v>205</v>
      </c>
      <c r="G7" s="1">
        <f t="shared" si="1"/>
        <v>89.756097560975618</v>
      </c>
      <c r="H7">
        <v>371</v>
      </c>
      <c r="I7">
        <v>393</v>
      </c>
      <c r="J7" s="1">
        <f t="shared" si="2"/>
        <v>94.402035623409674</v>
      </c>
    </row>
    <row r="8" spans="1:11" x14ac:dyDescent="0.3">
      <c r="A8" t="s">
        <v>6</v>
      </c>
      <c r="B8">
        <v>32</v>
      </c>
      <c r="C8">
        <v>37</v>
      </c>
      <c r="D8" s="1">
        <f t="shared" si="0"/>
        <v>86.486486486486484</v>
      </c>
      <c r="E8">
        <v>223</v>
      </c>
      <c r="F8">
        <v>243</v>
      </c>
      <c r="G8" s="1">
        <f t="shared" si="1"/>
        <v>91.769547325102891</v>
      </c>
      <c r="H8">
        <v>474</v>
      </c>
      <c r="I8">
        <v>549</v>
      </c>
      <c r="J8" s="1">
        <f t="shared" si="2"/>
        <v>86.338797814207652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40</v>
      </c>
      <c r="C10">
        <v>67</v>
      </c>
      <c r="D10" s="1">
        <f t="shared" si="0"/>
        <v>59.701492537313428</v>
      </c>
      <c r="E10">
        <v>449</v>
      </c>
      <c r="F10">
        <v>522</v>
      </c>
      <c r="G10" s="1">
        <f t="shared" si="1"/>
        <v>86.015325670498086</v>
      </c>
      <c r="H10">
        <v>1176</v>
      </c>
      <c r="I10">
        <v>1367</v>
      </c>
      <c r="J10" s="1">
        <f t="shared" si="2"/>
        <v>86.027798098024874</v>
      </c>
    </row>
    <row r="12" spans="1:11" x14ac:dyDescent="0.3">
      <c r="A12" t="s">
        <v>9</v>
      </c>
      <c r="B12">
        <f>SUM(B2:B10)</f>
        <v>154</v>
      </c>
      <c r="C12">
        <f t="shared" ref="C12:I12" si="3">SUM(C2:C10)</f>
        <v>218</v>
      </c>
      <c r="D12" s="1">
        <f t="shared" si="0"/>
        <v>70.642201834862391</v>
      </c>
      <c r="E12">
        <f t="shared" si="3"/>
        <v>1346</v>
      </c>
      <c r="F12">
        <f t="shared" si="3"/>
        <v>1579</v>
      </c>
      <c r="G12" s="1">
        <f t="shared" si="1"/>
        <v>85.243825205826468</v>
      </c>
      <c r="H12">
        <f t="shared" si="3"/>
        <v>3190</v>
      </c>
      <c r="I12">
        <f t="shared" si="3"/>
        <v>3613</v>
      </c>
      <c r="J12" s="1">
        <f t="shared" si="2"/>
        <v>88.292277885413782</v>
      </c>
      <c r="K12" t="s">
        <v>22</v>
      </c>
    </row>
    <row r="13" spans="1:11" x14ac:dyDescent="0.3">
      <c r="J13" s="1">
        <f>100-J12</f>
        <v>11.707722114586218</v>
      </c>
      <c r="K13" t="s">
        <v>23</v>
      </c>
    </row>
    <row r="18" spans="12:13" x14ac:dyDescent="0.3">
      <c r="L18" t="s">
        <v>17</v>
      </c>
      <c r="M18">
        <f>I12-I4</f>
        <v>3487</v>
      </c>
    </row>
    <row r="19" spans="12:13" x14ac:dyDescent="0.3">
      <c r="L19" t="s">
        <v>18</v>
      </c>
      <c r="M19">
        <f>I4</f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tabSelected="1" workbookViewId="0">
      <selection activeCell="H5" sqref="H5"/>
    </sheetView>
  </sheetViews>
  <sheetFormatPr defaultRowHeight="14.4" x14ac:dyDescent="0.3"/>
  <cols>
    <col min="1" max="1" width="12.109375" bestFit="1" customWidth="1"/>
  </cols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1</v>
      </c>
      <c r="C2">
        <v>23</v>
      </c>
      <c r="D2" s="1">
        <f t="shared" ref="D2:D3" si="0">B2/C2*100</f>
        <v>4.3478260869565215</v>
      </c>
      <c r="E2">
        <v>2</v>
      </c>
      <c r="F2">
        <v>329</v>
      </c>
      <c r="G2" s="1">
        <f t="shared" ref="G2:G3" si="1">E2/F2*100</f>
        <v>0.60790273556231</v>
      </c>
      <c r="H2">
        <v>2</v>
      </c>
      <c r="I2">
        <v>621</v>
      </c>
      <c r="J2" s="1">
        <f t="shared" ref="J2:J3" si="2">H2/I2*100</f>
        <v>0.322061191626409</v>
      </c>
    </row>
    <row r="3" spans="1:10" x14ac:dyDescent="0.3">
      <c r="A3" t="s">
        <v>20</v>
      </c>
      <c r="B3">
        <v>21</v>
      </c>
      <c r="C3">
        <v>27</v>
      </c>
      <c r="D3" s="1">
        <f t="shared" si="0"/>
        <v>77.777777777777786</v>
      </c>
      <c r="E3">
        <v>290</v>
      </c>
      <c r="F3">
        <v>325</v>
      </c>
      <c r="G3" s="1">
        <f t="shared" si="1"/>
        <v>89.230769230769241</v>
      </c>
      <c r="H3">
        <v>532</v>
      </c>
      <c r="I3">
        <v>592</v>
      </c>
      <c r="J3" s="1">
        <f t="shared" si="2"/>
        <v>89.86486486486487</v>
      </c>
    </row>
    <row r="4" spans="1:10" x14ac:dyDescent="0.3">
      <c r="A4" t="s">
        <v>24</v>
      </c>
      <c r="B4">
        <v>30</v>
      </c>
      <c r="C4">
        <v>37</v>
      </c>
      <c r="D4" s="1">
        <f>B4/C4*100</f>
        <v>81.081081081081081</v>
      </c>
      <c r="E4">
        <v>437</v>
      </c>
      <c r="F4">
        <v>526</v>
      </c>
      <c r="G4" s="1">
        <f>E4/F4*100</f>
        <v>83.079847908745251</v>
      </c>
      <c r="H4">
        <v>1011</v>
      </c>
      <c r="I4">
        <v>1169</v>
      </c>
      <c r="J4" s="1">
        <f>H4/I4*100</f>
        <v>86.4841745081266</v>
      </c>
    </row>
    <row r="6" spans="1:10" x14ac:dyDescent="0.3">
      <c r="A6" t="s">
        <v>9</v>
      </c>
      <c r="B6">
        <f>SUM(B2:B3)</f>
        <v>22</v>
      </c>
      <c r="C6">
        <f>SUM(C2:C3)</f>
        <v>50</v>
      </c>
      <c r="D6" s="1">
        <f t="shared" ref="D6" si="3">B6/C6*100</f>
        <v>44</v>
      </c>
      <c r="E6">
        <f>SUM(E2:E3)</f>
        <v>292</v>
      </c>
      <c r="F6">
        <f>SUM(F2:F3)</f>
        <v>654</v>
      </c>
      <c r="G6" s="1">
        <f t="shared" ref="G6" si="4">E6/F6*100</f>
        <v>44.648318042813457</v>
      </c>
      <c r="H6">
        <f>SUM(H2:H3)</f>
        <v>534</v>
      </c>
      <c r="I6">
        <f>SUM(I2:I3)</f>
        <v>1213</v>
      </c>
      <c r="J6" s="1">
        <f t="shared" ref="J6" si="5">H6/I6*100</f>
        <v>44.023083264633136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21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3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2026-02-26T19:05:55Z</dcterms:modified>
</cp:coreProperties>
</file>