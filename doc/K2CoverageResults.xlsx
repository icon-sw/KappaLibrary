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openSUSE-Tumbleweed\home\ssilvestri\research\Kappa2\doc\"/>
    </mc:Choice>
  </mc:AlternateContent>
  <xr:revisionPtr revIDLastSave="0" documentId="13_ncr:1_{20D1BD6A-78B6-47B1-B898-5F419B1BAA83}" xr6:coauthVersionLast="47" xr6:coauthVersionMax="47" xr10:uidLastSave="{00000000-0000-0000-0000-000000000000}"/>
  <bookViews>
    <workbookView xWindow="-108" yWindow="-108" windowWidth="23256" windowHeight="12456" xr2:uid="{834EB836-E108-4946-BBD2-E48878051BC8}"/>
  </bookViews>
  <sheets>
    <sheet name="K2Stream" sheetId="1" r:id="rId1"/>
    <sheet name="K2Lang" sheetId="2" r:id="rId2"/>
    <sheet name="KCoder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4" i="3"/>
  <c r="G4" i="3"/>
  <c r="D4" i="3"/>
  <c r="I4" i="3"/>
  <c r="H4" i="3"/>
  <c r="F4" i="3"/>
  <c r="E4" i="3"/>
  <c r="C4" i="3"/>
  <c r="B4" i="3"/>
  <c r="J2" i="3"/>
  <c r="G2" i="3"/>
  <c r="D2" i="3"/>
  <c r="I6" i="2"/>
  <c r="H6" i="2"/>
  <c r="F6" i="2"/>
  <c r="E6" i="2"/>
  <c r="C6" i="2"/>
  <c r="B6" i="2"/>
  <c r="D6" i="2" s="1"/>
  <c r="J4" i="2"/>
  <c r="G4" i="2"/>
  <c r="D4" i="2"/>
  <c r="J3" i="2"/>
  <c r="G3" i="2"/>
  <c r="D3" i="2"/>
  <c r="J2" i="2"/>
  <c r="G2" i="2"/>
  <c r="D2" i="2"/>
  <c r="M19" i="1"/>
  <c r="J3" i="1"/>
  <c r="J4" i="1"/>
  <c r="J5" i="1"/>
  <c r="J7" i="1"/>
  <c r="J8" i="1"/>
  <c r="J9" i="1"/>
  <c r="J10" i="1"/>
  <c r="J2" i="1"/>
  <c r="G3" i="1"/>
  <c r="G4" i="1"/>
  <c r="G5" i="1"/>
  <c r="G6" i="1"/>
  <c r="G7" i="1"/>
  <c r="G8" i="1"/>
  <c r="G9" i="1"/>
  <c r="G10" i="1"/>
  <c r="G2" i="1"/>
  <c r="D10" i="1"/>
  <c r="D3" i="1"/>
  <c r="D4" i="1"/>
  <c r="D5" i="1"/>
  <c r="D6" i="1"/>
  <c r="D7" i="1"/>
  <c r="D8" i="1"/>
  <c r="D9" i="1"/>
  <c r="D2" i="1"/>
  <c r="C12" i="1"/>
  <c r="E12" i="1"/>
  <c r="F12" i="1"/>
  <c r="H12" i="1"/>
  <c r="I12" i="1"/>
  <c r="M18" i="1" s="1"/>
  <c r="B12" i="1"/>
  <c r="D12" i="1" l="1"/>
  <c r="J12" i="1"/>
  <c r="J13" i="1" s="1"/>
  <c r="G12" i="1"/>
  <c r="J6" i="2"/>
  <c r="G6" i="2"/>
</calcChain>
</file>

<file path=xl/sharedStrings.xml><?xml version="1.0" encoding="utf-8"?>
<sst xmlns="http://schemas.openxmlformats.org/spreadsheetml/2006/main" count="41" uniqueCount="25">
  <si>
    <t>connections.rs</t>
  </si>
  <si>
    <t>errors.rs</t>
  </si>
  <si>
    <t>library.rs</t>
  </si>
  <si>
    <t>memory.rs</t>
  </si>
  <si>
    <t>modes.rs</t>
  </si>
  <si>
    <t>parameters.rs</t>
  </si>
  <si>
    <t>processors.rs</t>
  </si>
  <si>
    <t>states.rs</t>
  </si>
  <si>
    <t>stream_controller.rs</t>
  </si>
  <si>
    <t>Totale</t>
  </si>
  <si>
    <t>Test KPI</t>
  </si>
  <si>
    <t>Lines</t>
  </si>
  <si>
    <t>Regions</t>
  </si>
  <si>
    <t>Covered regions</t>
  </si>
  <si>
    <t>Functions</t>
  </si>
  <si>
    <t>Coverage Functions</t>
  </si>
  <si>
    <t>Coverage Lines</t>
  </si>
  <si>
    <t>Phase1</t>
  </si>
  <si>
    <t>Phase 2</t>
  </si>
  <si>
    <t>ast.rs</t>
  </si>
  <si>
    <t>coder.rs</t>
  </si>
  <si>
    <t>parser.rs</t>
  </si>
  <si>
    <t>main.rs</t>
  </si>
  <si>
    <t>Covered</t>
  </si>
  <si>
    <t>Uncovered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</si>
</sst>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2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K2Stream</a:t>
            </a:r>
            <a:r>
              <a:rPr lang="en-GB" baseline="0"/>
              <a:t> </a:t>
            </a:r>
            <a:r>
              <a:rPr lang="en-GB"/>
              <a:t>Coverage result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Functions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K2Stream!$A$2:$A$12</c15:sqref>
                  </c15:fullRef>
                </c:ext>
              </c:extLst>
              <c:f>K2Stream!$A$2:$A$10</c:f>
              <c:strCache>
                <c:ptCount val="9"/>
                <c:pt idx="0">
                  <c:v>connections.rs</c:v>
                </c:pt>
                <c:pt idx="1">
                  <c:v>errors.rs</c:v>
                </c:pt>
                <c:pt idx="2">
                  <c:v>library.rs</c:v>
                </c:pt>
                <c:pt idx="3">
                  <c:v>memory.rs</c:v>
                </c:pt>
                <c:pt idx="4">
                  <c:v>modes.rs</c:v>
                </c:pt>
                <c:pt idx="5">
                  <c:v>parameters.rs</c:v>
                </c:pt>
                <c:pt idx="6">
                  <c:v>processors.rs</c:v>
                </c:pt>
                <c:pt idx="7">
                  <c:v>states.rs</c:v>
                </c:pt>
                <c:pt idx="8">
                  <c:v>stream_controller.rs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K2Stream!$C$2:$C$12</c15:sqref>
                  </c15:fullRef>
                </c:ext>
              </c:extLst>
              <c:f>K2Stream!$C$2:$C$10</c:f>
              <c:numCache>
                <c:formatCode>General</c:formatCode>
                <c:ptCount val="9"/>
                <c:pt idx="0">
                  <c:v>26</c:v>
                </c:pt>
                <c:pt idx="1">
                  <c:v>3</c:v>
                </c:pt>
                <c:pt idx="2">
                  <c:v>8</c:v>
                </c:pt>
                <c:pt idx="3">
                  <c:v>11</c:v>
                </c:pt>
                <c:pt idx="4">
                  <c:v>35</c:v>
                </c:pt>
                <c:pt idx="5">
                  <c:v>16</c:v>
                </c:pt>
                <c:pt idx="6">
                  <c:v>36</c:v>
                </c:pt>
                <c:pt idx="7">
                  <c:v>9</c:v>
                </c:pt>
                <c:pt idx="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6-4287-9E23-175E244D8C9E}"/>
            </c:ext>
          </c:extLst>
        </c:ser>
        <c:ser>
          <c:idx val="3"/>
          <c:order val="1"/>
          <c:tx>
            <c:v>Lines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K2Stream!$A$2:$A$12</c15:sqref>
                  </c15:fullRef>
                </c:ext>
              </c:extLst>
              <c:f>K2Stream!$A$2:$A$10</c:f>
              <c:strCache>
                <c:ptCount val="9"/>
                <c:pt idx="0">
                  <c:v>connections.rs</c:v>
                </c:pt>
                <c:pt idx="1">
                  <c:v>errors.rs</c:v>
                </c:pt>
                <c:pt idx="2">
                  <c:v>library.rs</c:v>
                </c:pt>
                <c:pt idx="3">
                  <c:v>memory.rs</c:v>
                </c:pt>
                <c:pt idx="4">
                  <c:v>modes.rs</c:v>
                </c:pt>
                <c:pt idx="5">
                  <c:v>parameters.rs</c:v>
                </c:pt>
                <c:pt idx="6">
                  <c:v>processors.rs</c:v>
                </c:pt>
                <c:pt idx="7">
                  <c:v>states.rs</c:v>
                </c:pt>
                <c:pt idx="8">
                  <c:v>stream_controller.rs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K2Stream!$F$2:$F$12</c15:sqref>
                  </c15:fullRef>
                </c:ext>
              </c:extLst>
              <c:f>K2Stream!$F$2:$F$10</c:f>
              <c:numCache>
                <c:formatCode>General</c:formatCode>
                <c:ptCount val="9"/>
                <c:pt idx="0">
                  <c:v>137</c:v>
                </c:pt>
                <c:pt idx="1">
                  <c:v>20</c:v>
                </c:pt>
                <c:pt idx="2">
                  <c:v>66</c:v>
                </c:pt>
                <c:pt idx="3">
                  <c:v>91</c:v>
                </c:pt>
                <c:pt idx="4">
                  <c:v>230</c:v>
                </c:pt>
                <c:pt idx="5">
                  <c:v>205</c:v>
                </c:pt>
                <c:pt idx="6">
                  <c:v>239</c:v>
                </c:pt>
                <c:pt idx="7">
                  <c:v>51</c:v>
                </c:pt>
                <c:pt idx="8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46-4287-9E23-175E244D8C9E}"/>
            </c:ext>
          </c:extLst>
        </c:ser>
        <c:ser>
          <c:idx val="5"/>
          <c:order val="2"/>
          <c:tx>
            <c:v>Regions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K2Stream!$A$2:$A$12</c15:sqref>
                  </c15:fullRef>
                </c:ext>
              </c:extLst>
              <c:f>K2Stream!$A$2:$A$10</c:f>
              <c:strCache>
                <c:ptCount val="9"/>
                <c:pt idx="0">
                  <c:v>connections.rs</c:v>
                </c:pt>
                <c:pt idx="1">
                  <c:v>errors.rs</c:v>
                </c:pt>
                <c:pt idx="2">
                  <c:v>library.rs</c:v>
                </c:pt>
                <c:pt idx="3">
                  <c:v>memory.rs</c:v>
                </c:pt>
                <c:pt idx="4">
                  <c:v>modes.rs</c:v>
                </c:pt>
                <c:pt idx="5">
                  <c:v>parameters.rs</c:v>
                </c:pt>
                <c:pt idx="6">
                  <c:v>processors.rs</c:v>
                </c:pt>
                <c:pt idx="7">
                  <c:v>states.rs</c:v>
                </c:pt>
                <c:pt idx="8">
                  <c:v>stream_controller.rs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K2Stream!$I$2:$I$12</c15:sqref>
                  </c15:fullRef>
                </c:ext>
              </c:extLst>
              <c:f>K2Stream!$I$2:$I$10</c:f>
              <c:numCache>
                <c:formatCode>General</c:formatCode>
                <c:ptCount val="9"/>
                <c:pt idx="0">
                  <c:v>311</c:v>
                </c:pt>
                <c:pt idx="1">
                  <c:v>45</c:v>
                </c:pt>
                <c:pt idx="2">
                  <c:v>126</c:v>
                </c:pt>
                <c:pt idx="3">
                  <c:v>247</c:v>
                </c:pt>
                <c:pt idx="4">
                  <c:v>466</c:v>
                </c:pt>
                <c:pt idx="5">
                  <c:v>393</c:v>
                </c:pt>
                <c:pt idx="6">
                  <c:v>530</c:v>
                </c:pt>
                <c:pt idx="7">
                  <c:v>80</c:v>
                </c:pt>
                <c:pt idx="8">
                  <c:v>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46-4287-9E23-175E244D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233055"/>
        <c:axId val="1618234975"/>
      </c:barChart>
      <c:catAx>
        <c:axId val="161823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34975"/>
        <c:crosses val="autoZero"/>
        <c:auto val="1"/>
        <c:lblAlgn val="ctr"/>
        <c:lblOffset val="100"/>
        <c:noMultiLvlLbl val="0"/>
      </c:catAx>
      <c:valAx>
        <c:axId val="16182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3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TestCoverage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K2Stream!$A$2:$A$10</c:f>
              <c:strCache>
                <c:ptCount val="9"/>
                <c:pt idx="0">
                  <c:v>connections.rs</c:v>
                </c:pt>
                <c:pt idx="1">
                  <c:v>errors.rs</c:v>
                </c:pt>
                <c:pt idx="2">
                  <c:v>library.rs</c:v>
                </c:pt>
                <c:pt idx="3">
                  <c:v>memory.rs</c:v>
                </c:pt>
                <c:pt idx="4">
                  <c:v>modes.rs</c:v>
                </c:pt>
                <c:pt idx="5">
                  <c:v>parameters.rs</c:v>
                </c:pt>
                <c:pt idx="6">
                  <c:v>processors.rs</c:v>
                </c:pt>
                <c:pt idx="7">
                  <c:v>states.rs</c:v>
                </c:pt>
                <c:pt idx="8">
                  <c:v>stream_controller.rs</c:v>
                </c:pt>
              </c:strCache>
            </c:strRef>
          </c:cat>
          <c:val>
            <c:numRef>
              <c:f>K2Stream!$J$2:$J$10</c:f>
              <c:numCache>
                <c:formatCode>0.00</c:formatCode>
                <c:ptCount val="9"/>
                <c:pt idx="0">
                  <c:v>94.855305466237937</c:v>
                </c:pt>
                <c:pt idx="1">
                  <c:v>60</c:v>
                </c:pt>
                <c:pt idx="2">
                  <c:v>0</c:v>
                </c:pt>
                <c:pt idx="3">
                  <c:v>98.785425101214571</c:v>
                </c:pt>
                <c:pt idx="4">
                  <c:v>81.330472103004297</c:v>
                </c:pt>
                <c:pt idx="5">
                  <c:v>94.402035623409674</c:v>
                </c:pt>
                <c:pt idx="6">
                  <c:v>89.433962264150949</c:v>
                </c:pt>
                <c:pt idx="7">
                  <c:v>95</c:v>
                </c:pt>
                <c:pt idx="8">
                  <c:v>78.132884777123635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9-49D8-859E-FCA602C66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097711"/>
        <c:axId val="865932863"/>
      </c:barChart>
      <c:catAx>
        <c:axId val="156709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32863"/>
        <c:crosses val="autoZero"/>
        <c:auto val="1"/>
        <c:lblAlgn val="ctr"/>
        <c:lblOffset val="100"/>
        <c:noMultiLvlLbl val="0"/>
      </c:catAx>
      <c:valAx>
        <c:axId val="86593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9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27-46D0-921C-72A5D0E1E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27-46D0-921C-72A5D0E1E2A4}"/>
              </c:ext>
            </c:extLst>
          </c:dPt>
          <c:cat>
            <c:strRef>
              <c:f>K2Stream!$K$12:$K$13</c:f>
              <c:strCache>
                <c:ptCount val="2"/>
                <c:pt idx="0">
                  <c:v>Covered</c:v>
                </c:pt>
                <c:pt idx="1">
                  <c:v>Uncovered</c:v>
                </c:pt>
              </c:strCache>
            </c:strRef>
          </c:cat>
          <c:val>
            <c:numRef>
              <c:f>K2Stream!$J$12:$J$13</c:f>
              <c:numCache>
                <c:formatCode>0.00</c:formatCode>
                <c:ptCount val="2"/>
                <c:pt idx="0">
                  <c:v>82.521405373486871</c:v>
                </c:pt>
                <c:pt idx="1">
                  <c:v>17.478594626513129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C-42FC-851C-DAB713AF5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K2Lang Coverage result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K2Lang!$A$2:$A$4</c:f>
              <c:strCache>
                <c:ptCount val="3"/>
                <c:pt idx="0">
                  <c:v>ast.rs</c:v>
                </c:pt>
                <c:pt idx="1">
                  <c:v>coder.rs</c:v>
                </c:pt>
                <c:pt idx="2">
                  <c:v>parser.rs</c:v>
                </c:pt>
              </c:strCache>
            </c:strRef>
          </c:cat>
          <c:val>
            <c:numRef>
              <c:f>K2Lang!$C$2:$C$4</c:f>
              <c:numCache>
                <c:formatCode>General</c:formatCode>
                <c:ptCount val="3"/>
                <c:pt idx="0">
                  <c:v>30</c:v>
                </c:pt>
                <c:pt idx="1">
                  <c:v>22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2-4DFA-B0EB-CDA3DC38DFCA}"/>
            </c:ext>
          </c:extLst>
        </c:ser>
        <c:ser>
          <c:idx val="4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K2Lang!$A$2:$A$4</c:f>
              <c:strCache>
                <c:ptCount val="3"/>
                <c:pt idx="0">
                  <c:v>ast.rs</c:v>
                </c:pt>
                <c:pt idx="1">
                  <c:v>coder.rs</c:v>
                </c:pt>
                <c:pt idx="2">
                  <c:v>parser.rs</c:v>
                </c:pt>
              </c:strCache>
            </c:strRef>
          </c:cat>
          <c:val>
            <c:numRef>
              <c:f>K2Lang!$F$2:$F$4</c:f>
              <c:numCache>
                <c:formatCode>General</c:formatCode>
                <c:ptCount val="3"/>
                <c:pt idx="0">
                  <c:v>134</c:v>
                </c:pt>
                <c:pt idx="1">
                  <c:v>21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32-4DFA-B0EB-CDA3DC38DFCA}"/>
            </c:ext>
          </c:extLst>
        </c:ser>
        <c:ser>
          <c:idx val="7"/>
          <c:order val="2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K2Lang!$A$2:$A$4</c:f>
              <c:strCache>
                <c:ptCount val="3"/>
                <c:pt idx="0">
                  <c:v>ast.rs</c:v>
                </c:pt>
                <c:pt idx="1">
                  <c:v>coder.rs</c:v>
                </c:pt>
                <c:pt idx="2">
                  <c:v>parser.rs</c:v>
                </c:pt>
              </c:strCache>
            </c:strRef>
          </c:cat>
          <c:val>
            <c:numRef>
              <c:f>K2Lang!$I$2:$I$4</c:f>
              <c:numCache>
                <c:formatCode>General</c:formatCode>
                <c:ptCount val="3"/>
                <c:pt idx="0">
                  <c:v>845</c:v>
                </c:pt>
                <c:pt idx="1">
                  <c:v>636</c:v>
                </c:pt>
                <c:pt idx="2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32-4DFA-B0EB-CDA3DC38D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455199"/>
        <c:axId val="1604456639"/>
      </c:barChart>
      <c:catAx>
        <c:axId val="160445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56639"/>
        <c:crosses val="autoZero"/>
        <c:auto val="1"/>
        <c:lblAlgn val="ctr"/>
        <c:lblOffset val="100"/>
        <c:noMultiLvlLbl val="0"/>
      </c:catAx>
      <c:valAx>
        <c:axId val="16044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5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K2Lang!$A$2:$A$4</c:f>
              <c:strCache>
                <c:ptCount val="3"/>
                <c:pt idx="0">
                  <c:v>ast.rs</c:v>
                </c:pt>
                <c:pt idx="1">
                  <c:v>coder.rs</c:v>
                </c:pt>
                <c:pt idx="2">
                  <c:v>parser.rs</c:v>
                </c:pt>
              </c:strCache>
            </c:strRef>
          </c:cat>
          <c:val>
            <c:numRef>
              <c:f>K2Lang!$J$2:$J$4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8-4AE3-BADE-8076B22F0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285999"/>
        <c:axId val="1645286479"/>
      </c:barChart>
      <c:catAx>
        <c:axId val="16452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86479"/>
        <c:crosses val="autoZero"/>
        <c:auto val="1"/>
        <c:lblAlgn val="ctr"/>
        <c:lblOffset val="100"/>
        <c:noMultiLvlLbl val="0"/>
      </c:catAx>
      <c:valAx>
        <c:axId val="16452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8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13</xdr:row>
      <xdr:rowOff>38100</xdr:rowOff>
    </xdr:from>
    <xdr:to>
      <xdr:col>10</xdr:col>
      <xdr:colOff>7620</xdr:colOff>
      <xdr:row>32</xdr:row>
      <xdr:rowOff>102870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420EB5B-0F7B-8B6F-2BBF-D27321E81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</xdr:colOff>
      <xdr:row>0</xdr:row>
      <xdr:rowOff>0</xdr:rowOff>
    </xdr:from>
    <xdr:to>
      <xdr:col>17</xdr:col>
      <xdr:colOff>350520</xdr:colOff>
      <xdr:row>15</xdr:row>
      <xdr:rowOff>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68FB7987-6552-A247-C336-629F3E5C0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15</xdr:row>
      <xdr:rowOff>41910</xdr:rowOff>
    </xdr:from>
    <xdr:to>
      <xdr:col>17</xdr:col>
      <xdr:colOff>350520</xdr:colOff>
      <xdr:row>30</xdr:row>
      <xdr:rowOff>41910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E4546291-25DA-93DE-E71B-AC7953FDC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6</xdr:row>
      <xdr:rowOff>156210</xdr:rowOff>
    </xdr:from>
    <xdr:to>
      <xdr:col>8</xdr:col>
      <xdr:colOff>144780</xdr:colOff>
      <xdr:row>21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CFF4912-AB12-684F-F969-917F9E1E5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220980</xdr:colOff>
      <xdr:row>7</xdr:row>
      <xdr:rowOff>11430</xdr:rowOff>
    </xdr:from>
    <xdr:to>
      <xdr:col>16</xdr:col>
      <xdr:colOff>525780</xdr:colOff>
      <xdr:row>22</xdr:row>
      <xdr:rowOff>11430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79DBF92-3D47-9AAF-2584-E1B55A936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10AA-54D8-4558-88A7-D6706B6F5971}">
  <dimension ref="A1:M19"/>
  <sheetViews>
    <sheetView tabSelected="1" workbookViewId="0">
      <selection activeCell="I11" sqref="I11"/>
    </sheetView>
  </sheetViews>
  <sheetFormatPr defaultRowHeight="14.4" x14ac:dyDescent="0.3"/>
  <cols>
    <col min="1" max="1" width="17.5546875" bestFit="1" customWidth="1"/>
    <col min="2" max="2" width="9.77734375" customWidth="1"/>
    <col min="4" max="4" width="0" hidden="1" customWidth="1"/>
    <col min="5" max="5" width="8.6640625" customWidth="1"/>
    <col min="7" max="7" width="0" hidden="1" customWidth="1"/>
    <col min="8" max="8" width="10" customWidth="1"/>
  </cols>
  <sheetData>
    <row r="1" spans="1:11" s="2" customFormat="1" ht="29.4" customHeight="1" x14ac:dyDescent="0.3">
      <c r="B1" s="2" t="s">
        <v>15</v>
      </c>
      <c r="C1" s="2" t="s">
        <v>14</v>
      </c>
      <c r="E1" s="2" t="s">
        <v>16</v>
      </c>
      <c r="F1" s="2" t="s">
        <v>11</v>
      </c>
      <c r="H1" s="2" t="s">
        <v>13</v>
      </c>
      <c r="I1" s="2" t="s">
        <v>12</v>
      </c>
      <c r="J1" s="2" t="s">
        <v>10</v>
      </c>
    </row>
    <row r="2" spans="1:11" x14ac:dyDescent="0.3">
      <c r="A2" t="s">
        <v>0</v>
      </c>
      <c r="B2">
        <v>22</v>
      </c>
      <c r="C2">
        <v>26</v>
      </c>
      <c r="D2" s="1">
        <f>B2/C2*100</f>
        <v>84.615384615384613</v>
      </c>
      <c r="E2">
        <v>129</v>
      </c>
      <c r="F2">
        <v>137</v>
      </c>
      <c r="G2" s="1">
        <f>E2/F2*100</f>
        <v>94.160583941605836</v>
      </c>
      <c r="H2">
        <v>295</v>
      </c>
      <c r="I2">
        <v>311</v>
      </c>
      <c r="J2" s="1">
        <f>H2/I2*100</f>
        <v>94.855305466237937</v>
      </c>
    </row>
    <row r="3" spans="1:11" x14ac:dyDescent="0.3">
      <c r="A3" t="s">
        <v>1</v>
      </c>
      <c r="B3">
        <v>1</v>
      </c>
      <c r="C3">
        <v>3</v>
      </c>
      <c r="D3" s="1">
        <f t="shared" ref="D3:D12" si="0">B3/C3*100</f>
        <v>33.333333333333329</v>
      </c>
      <c r="E3">
        <v>11</v>
      </c>
      <c r="F3">
        <v>20</v>
      </c>
      <c r="G3" s="1">
        <f t="shared" ref="G3:G12" si="1">E3/F3*100</f>
        <v>55.000000000000007</v>
      </c>
      <c r="H3">
        <v>27</v>
      </c>
      <c r="I3">
        <v>45</v>
      </c>
      <c r="J3" s="1">
        <f t="shared" ref="J3:J12" si="2">H3/I3*100</f>
        <v>60</v>
      </c>
    </row>
    <row r="4" spans="1:11" x14ac:dyDescent="0.3">
      <c r="A4" t="s">
        <v>2</v>
      </c>
      <c r="B4">
        <v>0</v>
      </c>
      <c r="C4">
        <v>8</v>
      </c>
      <c r="D4" s="1">
        <f t="shared" si="0"/>
        <v>0</v>
      </c>
      <c r="E4">
        <v>0</v>
      </c>
      <c r="F4">
        <v>66</v>
      </c>
      <c r="G4" s="1">
        <f t="shared" si="1"/>
        <v>0</v>
      </c>
      <c r="H4">
        <v>0</v>
      </c>
      <c r="I4">
        <v>126</v>
      </c>
      <c r="J4" s="1">
        <f t="shared" si="2"/>
        <v>0</v>
      </c>
    </row>
    <row r="5" spans="1:11" x14ac:dyDescent="0.3">
      <c r="A5" t="s">
        <v>3</v>
      </c>
      <c r="B5">
        <v>10</v>
      </c>
      <c r="C5">
        <v>11</v>
      </c>
      <c r="D5" s="1">
        <f t="shared" si="0"/>
        <v>90.909090909090907</v>
      </c>
      <c r="E5">
        <v>88</v>
      </c>
      <c r="F5">
        <v>91</v>
      </c>
      <c r="G5" s="1">
        <f t="shared" si="1"/>
        <v>96.703296703296701</v>
      </c>
      <c r="H5">
        <v>244</v>
      </c>
      <c r="I5">
        <v>247</v>
      </c>
      <c r="J5" s="1">
        <f t="shared" si="2"/>
        <v>98.785425101214571</v>
      </c>
    </row>
    <row r="6" spans="1:11" x14ac:dyDescent="0.3">
      <c r="A6" t="s">
        <v>4</v>
      </c>
      <c r="B6">
        <v>23</v>
      </c>
      <c r="C6">
        <v>35</v>
      </c>
      <c r="D6" s="1">
        <f t="shared" si="0"/>
        <v>65.714285714285708</v>
      </c>
      <c r="E6">
        <v>186</v>
      </c>
      <c r="F6">
        <v>230</v>
      </c>
      <c r="G6" s="1">
        <f t="shared" si="1"/>
        <v>80.869565217391298</v>
      </c>
      <c r="H6">
        <v>379</v>
      </c>
      <c r="I6">
        <v>466</v>
      </c>
      <c r="J6" s="1">
        <f t="shared" si="2"/>
        <v>81.330472103004297</v>
      </c>
    </row>
    <row r="7" spans="1:11" x14ac:dyDescent="0.3">
      <c r="A7" t="s">
        <v>5</v>
      </c>
      <c r="B7">
        <v>14</v>
      </c>
      <c r="C7">
        <v>16</v>
      </c>
      <c r="D7" s="1">
        <f t="shared" si="0"/>
        <v>87.5</v>
      </c>
      <c r="E7">
        <v>184</v>
      </c>
      <c r="F7">
        <v>205</v>
      </c>
      <c r="G7" s="1">
        <f t="shared" si="1"/>
        <v>89.756097560975618</v>
      </c>
      <c r="H7">
        <v>371</v>
      </c>
      <c r="I7">
        <v>393</v>
      </c>
      <c r="J7" s="1">
        <f t="shared" si="2"/>
        <v>94.402035623409674</v>
      </c>
    </row>
    <row r="8" spans="1:11" x14ac:dyDescent="0.3">
      <c r="A8" t="s">
        <v>6</v>
      </c>
      <c r="B8">
        <v>32</v>
      </c>
      <c r="C8">
        <v>36</v>
      </c>
      <c r="D8" s="1">
        <f t="shared" si="0"/>
        <v>88.888888888888886</v>
      </c>
      <c r="E8">
        <v>223</v>
      </c>
      <c r="F8">
        <v>239</v>
      </c>
      <c r="G8" s="1">
        <f t="shared" si="1"/>
        <v>93.305439330543933</v>
      </c>
      <c r="H8">
        <v>474</v>
      </c>
      <c r="I8">
        <v>530</v>
      </c>
      <c r="J8" s="1">
        <f t="shared" si="2"/>
        <v>89.433962264150949</v>
      </c>
    </row>
    <row r="9" spans="1:11" x14ac:dyDescent="0.3">
      <c r="A9" t="s">
        <v>7</v>
      </c>
      <c r="B9">
        <v>8</v>
      </c>
      <c r="C9">
        <v>9</v>
      </c>
      <c r="D9" s="1">
        <f t="shared" si="0"/>
        <v>88.888888888888886</v>
      </c>
      <c r="E9">
        <v>48</v>
      </c>
      <c r="F9">
        <v>51</v>
      </c>
      <c r="G9" s="1">
        <f t="shared" si="1"/>
        <v>94.117647058823522</v>
      </c>
      <c r="H9">
        <v>76</v>
      </c>
      <c r="I9">
        <v>80</v>
      </c>
      <c r="J9" s="1">
        <f t="shared" si="2"/>
        <v>95</v>
      </c>
    </row>
    <row r="10" spans="1:11" x14ac:dyDescent="0.3">
      <c r="A10" t="s">
        <v>8</v>
      </c>
      <c r="B10">
        <v>30</v>
      </c>
      <c r="C10">
        <v>64</v>
      </c>
      <c r="D10" s="1">
        <f t="shared" si="0"/>
        <v>46.875</v>
      </c>
      <c r="E10">
        <v>346</v>
      </c>
      <c r="F10">
        <v>444</v>
      </c>
      <c r="G10" s="1">
        <f t="shared" si="1"/>
        <v>77.927927927927925</v>
      </c>
      <c r="H10">
        <v>929</v>
      </c>
      <c r="I10">
        <v>1189</v>
      </c>
      <c r="J10" s="1">
        <f t="shared" si="2"/>
        <v>78.132884777123635</v>
      </c>
    </row>
    <row r="12" spans="1:11" x14ac:dyDescent="0.3">
      <c r="A12" t="s">
        <v>9</v>
      </c>
      <c r="B12">
        <f>SUM(B2:B10)</f>
        <v>140</v>
      </c>
      <c r="C12">
        <f t="shared" ref="C12:I12" si="3">SUM(C2:C10)</f>
        <v>208</v>
      </c>
      <c r="D12" s="1">
        <f t="shared" si="0"/>
        <v>67.307692307692307</v>
      </c>
      <c r="E12">
        <f t="shared" si="3"/>
        <v>1215</v>
      </c>
      <c r="F12">
        <f t="shared" si="3"/>
        <v>1483</v>
      </c>
      <c r="G12" s="1">
        <f t="shared" si="1"/>
        <v>81.928523263654753</v>
      </c>
      <c r="H12">
        <f t="shared" si="3"/>
        <v>2795</v>
      </c>
      <c r="I12">
        <f t="shared" si="3"/>
        <v>3387</v>
      </c>
      <c r="J12" s="1">
        <f t="shared" si="2"/>
        <v>82.521405373486871</v>
      </c>
      <c r="K12" t="s">
        <v>23</v>
      </c>
    </row>
    <row r="13" spans="1:11" x14ac:dyDescent="0.3">
      <c r="J13" s="1">
        <f>100-J12</f>
        <v>17.478594626513129</v>
      </c>
      <c r="K13" t="s">
        <v>24</v>
      </c>
    </row>
    <row r="18" spans="12:13" x14ac:dyDescent="0.3">
      <c r="L18" t="s">
        <v>17</v>
      </c>
      <c r="M18">
        <f>I12-I4</f>
        <v>3261</v>
      </c>
    </row>
    <row r="19" spans="12:13" x14ac:dyDescent="0.3">
      <c r="L19" t="s">
        <v>18</v>
      </c>
      <c r="M19">
        <f>I4</f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2025-DC6A-446C-A7CB-D53CF62D5F59}">
  <dimension ref="A1:J6"/>
  <sheetViews>
    <sheetView workbookViewId="0">
      <selection activeCell="B26" sqref="B26"/>
    </sheetView>
  </sheetViews>
  <sheetFormatPr defaultRowHeight="14.4" x14ac:dyDescent="0.3"/>
  <sheetData>
    <row r="1" spans="1:10" ht="28.8" x14ac:dyDescent="0.3">
      <c r="A1" s="2"/>
      <c r="B1" s="2" t="s">
        <v>15</v>
      </c>
      <c r="C1" s="2" t="s">
        <v>14</v>
      </c>
      <c r="D1" s="2"/>
      <c r="E1" s="2" t="s">
        <v>16</v>
      </c>
      <c r="F1" s="2" t="s">
        <v>11</v>
      </c>
      <c r="G1" s="2"/>
      <c r="H1" s="2" t="s">
        <v>13</v>
      </c>
      <c r="I1" s="2" t="s">
        <v>12</v>
      </c>
      <c r="J1" s="2" t="s">
        <v>10</v>
      </c>
    </row>
    <row r="2" spans="1:10" x14ac:dyDescent="0.3">
      <c r="A2" t="s">
        <v>19</v>
      </c>
      <c r="B2">
        <v>0</v>
      </c>
      <c r="C2">
        <v>30</v>
      </c>
      <c r="D2" s="1">
        <f>B2/C2*100</f>
        <v>0</v>
      </c>
      <c r="E2">
        <v>0</v>
      </c>
      <c r="F2">
        <v>134</v>
      </c>
      <c r="G2" s="1">
        <f>E2/F2*100</f>
        <v>0</v>
      </c>
      <c r="H2">
        <v>0</v>
      </c>
      <c r="I2">
        <v>845</v>
      </c>
      <c r="J2" s="1">
        <f>H2/I2*100</f>
        <v>0</v>
      </c>
    </row>
    <row r="3" spans="1:10" x14ac:dyDescent="0.3">
      <c r="A3" t="s">
        <v>20</v>
      </c>
      <c r="B3">
        <v>0</v>
      </c>
      <c r="C3">
        <v>22</v>
      </c>
      <c r="D3" s="1">
        <f t="shared" ref="D3:D4" si="0">B3/C3*100</f>
        <v>0</v>
      </c>
      <c r="E3">
        <v>0</v>
      </c>
      <c r="F3">
        <v>21</v>
      </c>
      <c r="G3" s="1">
        <f t="shared" ref="G3:G4" si="1">E3/F3*100</f>
        <v>0</v>
      </c>
      <c r="H3">
        <v>0</v>
      </c>
      <c r="I3">
        <v>636</v>
      </c>
      <c r="J3" s="1">
        <f t="shared" ref="J3:J4" si="2">H3/I3*100</f>
        <v>0</v>
      </c>
    </row>
    <row r="4" spans="1:10" x14ac:dyDescent="0.3">
      <c r="A4" t="s">
        <v>21</v>
      </c>
      <c r="B4">
        <v>0</v>
      </c>
      <c r="C4">
        <v>32</v>
      </c>
      <c r="D4" s="1">
        <f t="shared" si="0"/>
        <v>0</v>
      </c>
      <c r="E4">
        <v>0</v>
      </c>
      <c r="F4">
        <v>63</v>
      </c>
      <c r="G4" s="1">
        <f t="shared" si="1"/>
        <v>0</v>
      </c>
      <c r="H4">
        <v>0</v>
      </c>
      <c r="I4">
        <v>423</v>
      </c>
      <c r="J4" s="1">
        <f t="shared" si="2"/>
        <v>0</v>
      </c>
    </row>
    <row r="6" spans="1:10" x14ac:dyDescent="0.3">
      <c r="A6" t="s">
        <v>9</v>
      </c>
      <c r="B6">
        <f>SUM(B2:B4)</f>
        <v>0</v>
      </c>
      <c r="C6">
        <f>SUM(C2:C4)</f>
        <v>84</v>
      </c>
      <c r="D6" s="1">
        <f t="shared" ref="D6" si="3">B6/C6*100</f>
        <v>0</v>
      </c>
      <c r="E6">
        <f>SUM(E2:E4)</f>
        <v>0</v>
      </c>
      <c r="F6">
        <f>SUM(F2:F4)</f>
        <v>218</v>
      </c>
      <c r="G6" s="1">
        <f t="shared" ref="G6" si="4">E6/F6*100</f>
        <v>0</v>
      </c>
      <c r="H6">
        <f>SUM(H2:H4)</f>
        <v>0</v>
      </c>
      <c r="I6">
        <f>SUM(I2:I4)</f>
        <v>1904</v>
      </c>
      <c r="J6" s="1">
        <f t="shared" ref="J6" si="5">H6/I6*100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D90C-65C3-4F2A-90FD-CB04A4811920}">
  <dimension ref="A1:J4"/>
  <sheetViews>
    <sheetView workbookViewId="0">
      <selection activeCell="J4" sqref="J4"/>
    </sheetView>
  </sheetViews>
  <sheetFormatPr defaultRowHeight="14.4" x14ac:dyDescent="0.3"/>
  <sheetData>
    <row r="1" spans="1:10" ht="28.8" x14ac:dyDescent="0.3">
      <c r="A1" s="2"/>
      <c r="B1" s="2" t="s">
        <v>15</v>
      </c>
      <c r="C1" s="2" t="s">
        <v>14</v>
      </c>
      <c r="D1" s="2"/>
      <c r="E1" s="2" t="s">
        <v>16</v>
      </c>
      <c r="F1" s="2" t="s">
        <v>11</v>
      </c>
      <c r="G1" s="2"/>
      <c r="H1" s="2" t="s">
        <v>13</v>
      </c>
      <c r="I1" s="2" t="s">
        <v>12</v>
      </c>
      <c r="J1" s="2" t="s">
        <v>10</v>
      </c>
    </row>
    <row r="2" spans="1:10" x14ac:dyDescent="0.3">
      <c r="A2" t="s">
        <v>22</v>
      </c>
      <c r="B2">
        <v>0</v>
      </c>
      <c r="C2">
        <v>4</v>
      </c>
      <c r="D2" s="1">
        <f>B2/C2*100</f>
        <v>0</v>
      </c>
      <c r="E2">
        <v>0</v>
      </c>
      <c r="F2">
        <v>98</v>
      </c>
      <c r="G2" s="1">
        <f>E2/F2*100</f>
        <v>0</v>
      </c>
      <c r="H2">
        <v>0</v>
      </c>
      <c r="I2">
        <v>238</v>
      </c>
      <c r="J2" s="1">
        <f>H2/I2*100</f>
        <v>0</v>
      </c>
    </row>
    <row r="4" spans="1:10" x14ac:dyDescent="0.3">
      <c r="A4" t="s">
        <v>9</v>
      </c>
      <c r="B4">
        <f>SUM(B2:B2)</f>
        <v>0</v>
      </c>
      <c r="C4">
        <f>SUM(C2:C2)</f>
        <v>4</v>
      </c>
      <c r="D4" s="1">
        <f>B4/C4*100</f>
        <v>0</v>
      </c>
      <c r="E4">
        <f>SUM(E2:E2)</f>
        <v>0</v>
      </c>
      <c r="F4">
        <f>SUM(F2:F2)</f>
        <v>98</v>
      </c>
      <c r="G4" s="1">
        <f>E4/F4*100</f>
        <v>0</v>
      </c>
      <c r="H4">
        <f>SUM(H2:H2)</f>
        <v>0</v>
      </c>
      <c r="I4">
        <f>SUM(I2:I2)</f>
        <v>238</v>
      </c>
      <c r="J4" s="3">
        <f>H4/I4*100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K2Stream</vt:lpstr>
      <vt:lpstr>K2Lang</vt:lpstr>
      <vt:lpstr>KCoder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Silvestri</dc:creator>
  <cp:lastModifiedBy>Sofia Silvestri</cp:lastModifiedBy>
  <dcterms:created xsi:type="dcterms:W3CDTF">2026-02-21T14:08:20Z</dcterms:created>
  <dcterms:modified xsi:type="dcterms:W3CDTF">2026-02-24T16:05:37Z</dcterms:modified>
</cp:coreProperties>
</file>